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I Semestre\Herramientas de Programación IV\Taller 2\"/>
    </mc:Choice>
  </mc:AlternateContent>
  <xr:revisionPtr revIDLastSave="0" documentId="13_ncr:1_{D9873D9D-C3C4-4DA6-A1AB-E934F7ABEDBE}" xr6:coauthVersionLast="47" xr6:coauthVersionMax="47" xr10:uidLastSave="{00000000-0000-0000-0000-000000000000}"/>
  <bookViews>
    <workbookView xWindow="-108" yWindow="-108" windowWidth="23256" windowHeight="13896" xr2:uid="{91EC9E62-3A35-4614-B8CF-05313AAFE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6" i="1"/>
  <c r="Q15" i="1"/>
  <c r="Q14" i="1"/>
  <c r="Q13" i="1"/>
  <c r="Q17" i="1"/>
  <c r="Q12" i="1"/>
  <c r="O18" i="1"/>
  <c r="F19" i="1"/>
  <c r="E19" i="1"/>
</calcChain>
</file>

<file path=xl/sharedStrings.xml><?xml version="1.0" encoding="utf-8"?>
<sst xmlns="http://schemas.openxmlformats.org/spreadsheetml/2006/main" count="58" uniqueCount="34">
  <si>
    <t>Sumy Development Studio</t>
  </si>
  <si>
    <t>6675-9087</t>
  </si>
  <si>
    <t>Emisor</t>
  </si>
  <si>
    <t>Nombre:</t>
  </si>
  <si>
    <t>RUC:</t>
  </si>
  <si>
    <t>5447896-3-2028</t>
  </si>
  <si>
    <t>Correo:</t>
  </si>
  <si>
    <t>Teléfono:</t>
  </si>
  <si>
    <t>sumyDevelopS@gmail.com</t>
  </si>
  <si>
    <t>Dirección:</t>
  </si>
  <si>
    <t>Receptor</t>
  </si>
  <si>
    <t xml:space="preserve">Colegio Belén </t>
  </si>
  <si>
    <t>colegioBelen@gmail.com</t>
  </si>
  <si>
    <t>774-8965</t>
  </si>
  <si>
    <t>Leandro N. Alem 22, Santiago del Estero</t>
  </si>
  <si>
    <t>Diseño</t>
  </si>
  <si>
    <t>Desarrollo de lógica</t>
  </si>
  <si>
    <t>Pruebas y corrección de errores</t>
  </si>
  <si>
    <t>Función</t>
  </si>
  <si>
    <t>Precio</t>
  </si>
  <si>
    <t>Total:</t>
  </si>
  <si>
    <t>Cantidad (hr)</t>
  </si>
  <si>
    <t>Desarrollo de App Colegio Belén</t>
  </si>
  <si>
    <t>Facturación</t>
  </si>
  <si>
    <t>Desarrollo de APP para Radio Noticiero Sucesos y Más</t>
  </si>
  <si>
    <t>Radio Periódicos Sucesos y Más</t>
  </si>
  <si>
    <t>sucesosymas@gmail.com</t>
  </si>
  <si>
    <t>Ave. 4a Este 674-2, David</t>
  </si>
  <si>
    <t>774-0000</t>
  </si>
  <si>
    <t>Diseño de Interfaz</t>
  </si>
  <si>
    <t>Hosting Externo (Anualidad)</t>
  </si>
  <si>
    <t>Dominio (Anualidad)</t>
  </si>
  <si>
    <t>Servicio Adicional (Accesos, Mantenimiento, Actualizaciones)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</si>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</sst>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3" xfId="0" applyFont="1" applyBorder="1"/>
    <xf numFmtId="0" fontId="0" fillId="0" borderId="4" xfId="0" applyBorder="1"/>
    <xf numFmtId="0" fontId="1" fillId="2" borderId="20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20" xfId="0" applyBorder="1"/>
    <xf numFmtId="0" fontId="0" fillId="0" borderId="19" xfId="0" applyBorder="1" applyAlignment="1">
      <alignment horizontal="right"/>
    </xf>
    <xf numFmtId="0" fontId="0" fillId="0" borderId="21" xfId="0" applyBorder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6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164" fontId="0" fillId="0" borderId="22" xfId="0" applyNumberFormat="1" applyBorder="1" applyAlignment="1">
      <alignment horizontal="right"/>
    </xf>
    <xf numFmtId="164" fontId="0" fillId="0" borderId="23" xfId="0" applyNumberFormat="1" applyBorder="1" applyAlignment="1">
      <alignment horizontal="right"/>
    </xf>
    <xf numFmtId="164" fontId="0" fillId="0" borderId="16" xfId="0" applyNumberFormat="1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7" xfId="0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0" borderId="18" xfId="1" applyBorder="1" applyAlignment="1">
      <alignment horizontal="left"/>
    </xf>
    <xf numFmtId="0" fontId="2" fillId="0" borderId="12" xfId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11" xfId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31" xfId="0" applyFont="1" applyFill="1" applyBorder="1" applyAlignment="1">
      <alignment horizontal="center"/>
    </xf>
    <xf numFmtId="0" fontId="0" fillId="0" borderId="6" xfId="0" applyBorder="1"/>
    <xf numFmtId="164" fontId="0" fillId="0" borderId="31" xfId="0" applyNumberFormat="1" applyBorder="1"/>
    <xf numFmtId="164" fontId="0" fillId="0" borderId="26" xfId="0" applyNumberFormat="1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33" xfId="0" applyBorder="1" applyAlignment="1">
      <alignment horizontal="right"/>
    </xf>
    <xf numFmtId="164" fontId="0" fillId="0" borderId="27" xfId="0" applyNumberFormat="1" applyBorder="1" applyAlignment="1">
      <alignment horizontal="right"/>
    </xf>
    <xf numFmtId="164" fontId="0" fillId="0" borderId="34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yDevelopS@gmail.com" TargetMode="External"/><Relationship Id="rId2" Type="http://schemas.openxmlformats.org/officeDocument/2006/relationships/hyperlink" Target="mailto:colegioBelen@gmail.com" TargetMode="External"/><Relationship Id="rId1" Type="http://schemas.openxmlformats.org/officeDocument/2006/relationships/hyperlink" Target="mailto:sumyDevelopS@gmail.com" TargetMode="External"/><Relationship Id="rId4" Type="http://schemas.openxmlformats.org/officeDocument/2006/relationships/hyperlink" Target="mailto:sucesosym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2CDC-50DF-4606-A1D3-38AAF6AE0B1E}">
  <dimension ref="A2:R19"/>
  <sheetViews>
    <sheetView tabSelected="1" topLeftCell="B1" workbookViewId="0">
      <selection activeCell="J21" sqref="J21"/>
    </sheetView>
  </sheetViews>
  <sheetFormatPr baseColWidth="10" defaultRowHeight="14.4" x14ac:dyDescent="0.3"/>
  <cols>
    <col min="1" max="1" width="5.88671875" customWidth="1"/>
    <col min="6" max="6" width="11.5546875" customWidth="1"/>
  </cols>
  <sheetData>
    <row r="2" spans="1:18" x14ac:dyDescent="0.3">
      <c r="B2" s="37" t="s">
        <v>23</v>
      </c>
      <c r="C2" s="37"/>
      <c r="D2" s="37"/>
      <c r="E2" s="37"/>
      <c r="F2" s="37"/>
      <c r="G2" s="37"/>
      <c r="H2" s="37"/>
      <c r="L2" s="37" t="s">
        <v>23</v>
      </c>
      <c r="M2" s="37"/>
      <c r="N2" s="37"/>
      <c r="O2" s="37"/>
      <c r="P2" s="37"/>
      <c r="Q2" s="37"/>
      <c r="R2" s="37"/>
    </row>
    <row r="3" spans="1:18" x14ac:dyDescent="0.3">
      <c r="B3" s="37" t="s">
        <v>22</v>
      </c>
      <c r="C3" s="37"/>
      <c r="D3" s="37"/>
      <c r="E3" s="37"/>
      <c r="F3" s="37"/>
      <c r="G3" s="37"/>
      <c r="H3" s="37"/>
      <c r="L3" s="37" t="s">
        <v>24</v>
      </c>
      <c r="M3" s="37"/>
      <c r="N3" s="37"/>
      <c r="O3" s="37"/>
      <c r="P3" s="37"/>
      <c r="Q3" s="37"/>
      <c r="R3" s="37"/>
    </row>
    <row r="4" spans="1:18" ht="15" thickBot="1" x14ac:dyDescent="0.35"/>
    <row r="5" spans="1:18" ht="15" thickBot="1" x14ac:dyDescent="0.35">
      <c r="B5" s="25" t="s">
        <v>2</v>
      </c>
      <c r="C5" s="26"/>
      <c r="D5" s="27"/>
      <c r="E5" s="25" t="s">
        <v>10</v>
      </c>
      <c r="F5" s="26"/>
      <c r="G5" s="26"/>
      <c r="H5" s="27"/>
      <c r="L5" s="25" t="s">
        <v>2</v>
      </c>
      <c r="M5" s="26"/>
      <c r="N5" s="27"/>
      <c r="O5" s="25" t="s">
        <v>10</v>
      </c>
      <c r="P5" s="26"/>
      <c r="Q5" s="26"/>
      <c r="R5" s="27"/>
    </row>
    <row r="6" spans="1:18" x14ac:dyDescent="0.3">
      <c r="B6" s="2" t="s">
        <v>3</v>
      </c>
      <c r="C6" s="28" t="s">
        <v>0</v>
      </c>
      <c r="D6" s="29"/>
      <c r="E6" s="2" t="s">
        <v>3</v>
      </c>
      <c r="F6" s="28" t="s">
        <v>11</v>
      </c>
      <c r="G6" s="34"/>
      <c r="H6" s="29"/>
      <c r="L6" s="2" t="s">
        <v>3</v>
      </c>
      <c r="M6" s="28" t="s">
        <v>0</v>
      </c>
      <c r="N6" s="29"/>
      <c r="O6" s="2" t="s">
        <v>3</v>
      </c>
      <c r="P6" s="28" t="s">
        <v>25</v>
      </c>
      <c r="Q6" s="34"/>
      <c r="R6" s="29"/>
    </row>
    <row r="7" spans="1:18" x14ac:dyDescent="0.3">
      <c r="B7" s="5" t="s">
        <v>4</v>
      </c>
      <c r="C7" s="30" t="s">
        <v>5</v>
      </c>
      <c r="D7" s="31"/>
      <c r="E7" s="5" t="s">
        <v>9</v>
      </c>
      <c r="F7" s="30" t="s">
        <v>14</v>
      </c>
      <c r="G7" s="35"/>
      <c r="H7" s="31"/>
      <c r="L7" s="5" t="s">
        <v>4</v>
      </c>
      <c r="M7" s="30" t="s">
        <v>5</v>
      </c>
      <c r="N7" s="31"/>
      <c r="O7" s="5" t="s">
        <v>9</v>
      </c>
      <c r="P7" s="30" t="s">
        <v>27</v>
      </c>
      <c r="Q7" s="35"/>
      <c r="R7" s="31"/>
    </row>
    <row r="8" spans="1:18" x14ac:dyDescent="0.3">
      <c r="B8" s="3" t="s">
        <v>7</v>
      </c>
      <c r="C8" s="30" t="s">
        <v>1</v>
      </c>
      <c r="D8" s="31"/>
      <c r="E8" s="5" t="s">
        <v>7</v>
      </c>
      <c r="F8" s="30" t="s">
        <v>13</v>
      </c>
      <c r="G8" s="35"/>
      <c r="H8" s="31"/>
      <c r="L8" s="3" t="s">
        <v>7</v>
      </c>
      <c r="M8" s="30" t="s">
        <v>1</v>
      </c>
      <c r="N8" s="31"/>
      <c r="O8" s="5" t="s">
        <v>7</v>
      </c>
      <c r="P8" s="30" t="s">
        <v>28</v>
      </c>
      <c r="Q8" s="35"/>
      <c r="R8" s="31"/>
    </row>
    <row r="9" spans="1:18" ht="15" thickBot="1" x14ac:dyDescent="0.35">
      <c r="B9" s="4" t="s">
        <v>6</v>
      </c>
      <c r="C9" s="32" t="s">
        <v>8</v>
      </c>
      <c r="D9" s="33"/>
      <c r="E9" s="4" t="s">
        <v>6</v>
      </c>
      <c r="F9" s="32" t="s">
        <v>12</v>
      </c>
      <c r="G9" s="36"/>
      <c r="H9" s="33"/>
      <c r="L9" s="4" t="s">
        <v>6</v>
      </c>
      <c r="M9" s="32" t="s">
        <v>8</v>
      </c>
      <c r="N9" s="33"/>
      <c r="O9" s="4" t="s">
        <v>6</v>
      </c>
      <c r="P9" s="32" t="s">
        <v>26</v>
      </c>
      <c r="Q9" s="36"/>
      <c r="R9" s="33"/>
    </row>
    <row r="10" spans="1:18" ht="15" thickBot="1" x14ac:dyDescent="0.35"/>
    <row r="11" spans="1:18" ht="15" thickBot="1" x14ac:dyDescent="0.35">
      <c r="A11" s="1"/>
      <c r="B11" s="1"/>
      <c r="L11" s="25" t="s">
        <v>18</v>
      </c>
      <c r="M11" s="26"/>
      <c r="N11" s="26"/>
      <c r="O11" s="12" t="s">
        <v>21</v>
      </c>
      <c r="P11" s="44" t="s">
        <v>19</v>
      </c>
      <c r="Q11" s="15" t="s">
        <v>33</v>
      </c>
    </row>
    <row r="12" spans="1:18" ht="15" thickBot="1" x14ac:dyDescent="0.35">
      <c r="B12" s="25" t="s">
        <v>18</v>
      </c>
      <c r="C12" s="26"/>
      <c r="D12" s="38"/>
      <c r="E12" s="7" t="s">
        <v>21</v>
      </c>
      <c r="F12" s="8" t="s">
        <v>19</v>
      </c>
      <c r="L12" s="19" t="s">
        <v>29</v>
      </c>
      <c r="M12" s="43"/>
      <c r="N12" s="43"/>
      <c r="O12" s="48">
        <v>15</v>
      </c>
      <c r="P12" s="47">
        <v>8</v>
      </c>
      <c r="Q12" s="51">
        <f>O12*P12</f>
        <v>120</v>
      </c>
    </row>
    <row r="13" spans="1:18" x14ac:dyDescent="0.3">
      <c r="B13" s="39" t="s">
        <v>15</v>
      </c>
      <c r="C13" s="40"/>
      <c r="D13" s="41"/>
      <c r="E13" s="10">
        <v>8</v>
      </c>
      <c r="F13" s="16">
        <v>8</v>
      </c>
      <c r="L13" s="19" t="s">
        <v>16</v>
      </c>
      <c r="M13" s="43"/>
      <c r="N13" s="43"/>
      <c r="O13" s="48">
        <v>8</v>
      </c>
      <c r="P13" s="47">
        <v>5</v>
      </c>
      <c r="Q13" s="51">
        <f t="shared" ref="Q13:Q17" si="0">O13*P13</f>
        <v>40</v>
      </c>
    </row>
    <row r="14" spans="1:18" x14ac:dyDescent="0.3">
      <c r="B14" s="13"/>
      <c r="C14" s="42"/>
      <c r="D14" s="14"/>
      <c r="E14" s="10"/>
      <c r="F14" s="16"/>
      <c r="L14" s="19" t="s">
        <v>31</v>
      </c>
      <c r="M14" s="43"/>
      <c r="N14" s="43"/>
      <c r="O14" s="48"/>
      <c r="P14" s="47">
        <v>10</v>
      </c>
      <c r="Q14" s="51">
        <f>P14</f>
        <v>10</v>
      </c>
    </row>
    <row r="15" spans="1:18" x14ac:dyDescent="0.3">
      <c r="B15" s="13"/>
      <c r="C15" s="42"/>
      <c r="D15" s="14"/>
      <c r="E15" s="10"/>
      <c r="F15" s="16"/>
      <c r="L15" s="19" t="s">
        <v>32</v>
      </c>
      <c r="M15" s="43"/>
      <c r="N15" s="43"/>
      <c r="O15" s="48"/>
      <c r="P15" s="47">
        <v>75</v>
      </c>
      <c r="Q15" s="51">
        <f>P15</f>
        <v>75</v>
      </c>
    </row>
    <row r="16" spans="1:18" x14ac:dyDescent="0.3">
      <c r="B16" s="13"/>
      <c r="C16" s="42"/>
      <c r="D16" s="14"/>
      <c r="E16" s="10"/>
      <c r="F16" s="16"/>
      <c r="L16" s="19" t="s">
        <v>30</v>
      </c>
      <c r="M16" s="43"/>
      <c r="N16" s="43"/>
      <c r="O16" s="48">
        <v>12</v>
      </c>
      <c r="P16" s="47">
        <v>20</v>
      </c>
      <c r="Q16" s="51">
        <f>O16*P16</f>
        <v>240</v>
      </c>
    </row>
    <row r="17" spans="2:17" ht="15" thickBot="1" x14ac:dyDescent="0.35">
      <c r="B17" s="19" t="s">
        <v>16</v>
      </c>
      <c r="C17" s="20"/>
      <c r="D17" s="21"/>
      <c r="E17" s="10">
        <v>4</v>
      </c>
      <c r="F17" s="16">
        <v>5</v>
      </c>
      <c r="L17" s="22" t="s">
        <v>17</v>
      </c>
      <c r="M17" s="23"/>
      <c r="N17" s="23"/>
      <c r="O17" s="49">
        <v>2</v>
      </c>
      <c r="P17" s="50">
        <v>10</v>
      </c>
      <c r="Q17" s="51">
        <f t="shared" si="0"/>
        <v>20</v>
      </c>
    </row>
    <row r="18" spans="2:17" ht="15" thickBot="1" x14ac:dyDescent="0.35">
      <c r="B18" s="22" t="s">
        <v>17</v>
      </c>
      <c r="C18" s="23"/>
      <c r="D18" s="24"/>
      <c r="E18" s="11">
        <v>5</v>
      </c>
      <c r="F18" s="17">
        <v>10</v>
      </c>
      <c r="N18" s="45" t="s">
        <v>20</v>
      </c>
      <c r="O18" s="9">
        <f>SUM(O12:O17)</f>
        <v>37</v>
      </c>
      <c r="P18" s="46"/>
      <c r="Q18" s="18">
        <f>SUM(Q12:Q17)</f>
        <v>505</v>
      </c>
    </row>
    <row r="19" spans="2:17" ht="15" thickBot="1" x14ac:dyDescent="0.35">
      <c r="D19" s="6" t="s">
        <v>20</v>
      </c>
      <c r="E19" s="9">
        <f>SUM(E13:E18)</f>
        <v>17</v>
      </c>
      <c r="F19" s="18">
        <f>(E13*F13)+(E17*F17)+(E18*F18)</f>
        <v>134</v>
      </c>
    </row>
  </sheetData>
  <mergeCells count="35">
    <mergeCell ref="L17:N17"/>
    <mergeCell ref="L2:R2"/>
    <mergeCell ref="L3:R3"/>
    <mergeCell ref="L16:N16"/>
    <mergeCell ref="L14:N14"/>
    <mergeCell ref="L15:N15"/>
    <mergeCell ref="P8:R8"/>
    <mergeCell ref="M9:N9"/>
    <mergeCell ref="P9:R9"/>
    <mergeCell ref="L11:N11"/>
    <mergeCell ref="L12:N12"/>
    <mergeCell ref="O5:R5"/>
    <mergeCell ref="M6:N6"/>
    <mergeCell ref="P6:R6"/>
    <mergeCell ref="M7:N7"/>
    <mergeCell ref="P7:R7"/>
    <mergeCell ref="B3:H3"/>
    <mergeCell ref="B2:H2"/>
    <mergeCell ref="B12:D12"/>
    <mergeCell ref="B13:D13"/>
    <mergeCell ref="L5:N5"/>
    <mergeCell ref="M8:N8"/>
    <mergeCell ref="L13:N13"/>
    <mergeCell ref="B17:D17"/>
    <mergeCell ref="B18:D18"/>
    <mergeCell ref="E5:H5"/>
    <mergeCell ref="B5:D5"/>
    <mergeCell ref="C6:D6"/>
    <mergeCell ref="C7:D7"/>
    <mergeCell ref="C8:D8"/>
    <mergeCell ref="C9:D9"/>
    <mergeCell ref="F6:H6"/>
    <mergeCell ref="F7:H7"/>
    <mergeCell ref="F8:H8"/>
    <mergeCell ref="F9:H9"/>
  </mergeCells>
  <hyperlinks>
    <hyperlink ref="C9" r:id="rId1" xr:uid="{34D97478-9217-4C23-9BA9-A17B7C2A6DE8}"/>
    <hyperlink ref="F9" r:id="rId2" xr:uid="{26A3E6BE-3397-4B25-9C35-ABE65AD4FC8D}"/>
    <hyperlink ref="M9" r:id="rId3" xr:uid="{A47BD188-95EF-49AB-8D33-AE9B3B13E030}"/>
    <hyperlink ref="P9" r:id="rId4" xr:uid="{FA9EB20D-BE71-41CD-B680-D52CFCF13A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YULEISY SUIRA</dc:creator>
  <cp:lastModifiedBy>YULEISY SUIRA</cp:lastModifiedBy>
  <dcterms:created xsi:type="dcterms:W3CDTF">2026-04-13T02:12:31Z</dcterms:created>
  <dcterms:modified xsi:type="dcterms:W3CDTF">2026-04-20T14:44:08Z</dcterms:modified>
</cp:coreProperties>
</file>